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139" documentId="11_E60897F41BE170836B02CE998F75CCDC64E183C8" xr6:coauthVersionLast="47" xr6:coauthVersionMax="47" xr10:uidLastSave="{29F4775C-BCD4-41C6-BF4B-F987455A154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H3" i="1"/>
  <c r="H4" i="1"/>
  <c r="H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<sst xmlns="http://schemas.openxmlformats.org/spreadsheetml/2006/main" count="11" uniqueCount="8">
  <si>
    <t>Frequency</t>
  </si>
  <si>
    <t>Without</t>
  </si>
  <si>
    <t>With AmpEar</t>
  </si>
  <si>
    <t>dB Diff</t>
  </si>
  <si>
    <t>w/o</t>
  </si>
  <si>
    <t>w</t>
  </si>
  <si>
    <t>diff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</si>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</sst>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Amplifying Frequency Spectrum With AmpEars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DbA Amplification with AmpEars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Sheet1!A2:A12</c:f>
              <c:numCache>
                <c:formatCode>General</c:formatCode>
                <c:ptCount val="11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  <c:pt idx="3">
                  <c:v>800</c:v>
                </c:pt>
                <c:pt idx="4">
                  <c:v>900</c:v>
                </c:pt>
                <c:pt idx="5">
                  <c:v>1000</c:v>
                </c:pt>
                <c:pt idx="6">
                  <c:v>1100</c:v>
                </c:pt>
                <c:pt idx="7">
                  <c:v>1200</c:v>
                </c:pt>
                <c:pt idx="8">
                  <c:v>1300</c:v>
                </c:pt>
                <c:pt idx="9">
                  <c:v>1400</c:v>
                </c:pt>
                <c:pt idx="10">
                  <c:v>1500</c:v>
                </c:pt>
              </c:numCache>
            </c:numRef>
          </c:xVal>
          <c:yVal>
            <c:numRef>
              <c:f>Sheet1!O2:O12</c:f>
              <c:numCache>
                <c:formatCode>0.0</c:formatCode>
                <c:ptCount val="11"/>
                <c:pt idx="0">
                  <c:v>1.5000000000000024</c:v>
                </c:pt>
                <c:pt idx="1">
                  <c:v>2.0999999999999992</c:v>
                </c:pt>
                <c:pt idx="2">
                  <c:v>2.5333333333333337</c:v>
                </c:pt>
                <c:pt idx="3">
                  <c:v>2.7999999999999994</c:v>
                </c:pt>
                <c:pt idx="4">
                  <c:v>2.7666666666666657</c:v>
                </c:pt>
                <c:pt idx="5">
                  <c:v>3.800000000000002</c:v>
                </c:pt>
                <c:pt idx="6">
                  <c:v>3.9666666666666663</c:v>
                </c:pt>
                <c:pt idx="7">
                  <c:v>3.6666666666666665</c:v>
                </c:pt>
                <c:pt idx="8">
                  <c:v>4.5999999999999988</c:v>
                </c:pt>
                <c:pt idx="9">
                  <c:v>4.8</c:v>
                </c:pt>
                <c:pt idx="10">
                  <c:v>4.7666666666666684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42-4636-9631-AAC446EAD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63752"/>
        <c:axId val="170465800"/>
      </c:scatterChart>
      <c:valAx>
        <c:axId val="170463752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Sound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5800"/>
        <c:crosses val="autoZero"/>
        <c:crossBetween val="midCat"/>
        <c:majorUnit val="100"/>
        <c:minorUnit val="20"/>
      </c:valAx>
      <c:valAx>
        <c:axId val="17046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 (DbA)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3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18</xdr:row>
      <xdr:rowOff>76200</xdr:rowOff>
    </xdr:from>
    <xdr:to>
      <xdr:col>16</xdr:col>
      <xdr:colOff>400050</xdr:colOff>
      <xdr:row>38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24E85E-593E-C75C-F08A-2EFBB81A2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A7" workbookViewId="0">
      <selection activeCell="U39" sqref="U39"/>
    </sheetView>
  </sheetViews>
  <sheetFormatPr defaultRowHeight="15"/>
  <cols>
    <col min="1" max="1" width="10" bestFit="1" customWidth="1"/>
    <col min="2" max="2" width="15.42578125" bestFit="1" customWidth="1"/>
    <col min="3" max="3" width="12.42578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J1" t="s">
        <v>4</v>
      </c>
      <c r="K1" t="s">
        <v>5</v>
      </c>
      <c r="L1" t="s">
        <v>6</v>
      </c>
      <c r="O1" t="s">
        <v>7</v>
      </c>
    </row>
    <row r="2" spans="1:15">
      <c r="A2">
        <v>500</v>
      </c>
      <c r="B2">
        <v>37.299999999999997</v>
      </c>
      <c r="C2">
        <v>38.700000000000003</v>
      </c>
      <c r="D2">
        <f>C2-B2</f>
        <v>1.4000000000000057</v>
      </c>
      <c r="F2">
        <v>33.5</v>
      </c>
      <c r="G2">
        <v>35</v>
      </c>
      <c r="H2">
        <f t="shared" ref="H2:H4" si="0">G2-F2</f>
        <v>1.5</v>
      </c>
      <c r="J2">
        <v>33.5</v>
      </c>
      <c r="K2">
        <v>35.1</v>
      </c>
      <c r="L2">
        <f t="shared" ref="L2:L17" si="1">K2-J2</f>
        <v>1.6000000000000014</v>
      </c>
      <c r="O2" s="1">
        <f>(D2+H2+L2)/3</f>
        <v>1.5000000000000024</v>
      </c>
    </row>
    <row r="3" spans="1:15">
      <c r="A3">
        <v>600</v>
      </c>
      <c r="B3">
        <v>38</v>
      </c>
      <c r="C3">
        <v>40.9</v>
      </c>
      <c r="D3">
        <f t="shared" ref="D3:D17" si="2">C3-B3</f>
        <v>2.8999999999999986</v>
      </c>
      <c r="F3">
        <v>34.700000000000003</v>
      </c>
      <c r="G3">
        <v>36</v>
      </c>
      <c r="H3">
        <f t="shared" si="0"/>
        <v>1.2999999999999972</v>
      </c>
      <c r="J3">
        <v>34</v>
      </c>
      <c r="K3">
        <v>36.1</v>
      </c>
      <c r="L3">
        <f t="shared" si="1"/>
        <v>2.1000000000000014</v>
      </c>
      <c r="O3" s="1">
        <f t="shared" ref="O3:O14" si="3">(D3+H3+L3)/3</f>
        <v>2.0999999999999992</v>
      </c>
    </row>
    <row r="4" spans="1:15">
      <c r="A4">
        <v>700</v>
      </c>
      <c r="B4">
        <v>40.799999999999997</v>
      </c>
      <c r="C4">
        <v>44.8</v>
      </c>
      <c r="D4">
        <f t="shared" si="2"/>
        <v>4</v>
      </c>
      <c r="F4">
        <v>39.299999999999997</v>
      </c>
      <c r="G4">
        <v>41</v>
      </c>
      <c r="H4">
        <f t="shared" si="0"/>
        <v>1.7000000000000028</v>
      </c>
      <c r="J4">
        <v>39.1</v>
      </c>
      <c r="K4">
        <v>41</v>
      </c>
      <c r="L4">
        <f t="shared" si="1"/>
        <v>1.8999999999999986</v>
      </c>
      <c r="O4" s="1">
        <f t="shared" si="3"/>
        <v>2.5333333333333337</v>
      </c>
    </row>
    <row r="5" spans="1:15">
      <c r="A5">
        <v>800</v>
      </c>
      <c r="B5">
        <v>41.8</v>
      </c>
      <c r="C5">
        <v>45.1</v>
      </c>
      <c r="D5">
        <f t="shared" si="2"/>
        <v>3.3000000000000043</v>
      </c>
      <c r="F5">
        <v>42.2</v>
      </c>
      <c r="G5">
        <v>44.8</v>
      </c>
      <c r="H5">
        <f>G5-F5</f>
        <v>2.5999999999999943</v>
      </c>
      <c r="J5">
        <v>42.2</v>
      </c>
      <c r="K5">
        <v>44.7</v>
      </c>
      <c r="L5">
        <f t="shared" si="1"/>
        <v>2.5</v>
      </c>
      <c r="O5" s="1">
        <f t="shared" si="3"/>
        <v>2.7999999999999994</v>
      </c>
    </row>
    <row r="6" spans="1:15">
      <c r="A6">
        <v>900</v>
      </c>
      <c r="B6">
        <v>45.2</v>
      </c>
      <c r="C6">
        <v>49.2</v>
      </c>
      <c r="D6">
        <f t="shared" si="2"/>
        <v>4</v>
      </c>
      <c r="F6">
        <v>40.1</v>
      </c>
      <c r="G6">
        <v>42.5</v>
      </c>
      <c r="H6">
        <f t="shared" ref="H6:H17" si="4">G6-F6</f>
        <v>2.3999999999999986</v>
      </c>
      <c r="J6">
        <v>40.4</v>
      </c>
      <c r="K6">
        <v>42.3</v>
      </c>
      <c r="L6">
        <f t="shared" si="1"/>
        <v>1.8999999999999986</v>
      </c>
      <c r="O6" s="1">
        <f t="shared" si="3"/>
        <v>2.7666666666666657</v>
      </c>
    </row>
    <row r="7" spans="1:15">
      <c r="A7">
        <v>1000</v>
      </c>
      <c r="B7">
        <v>44.4</v>
      </c>
      <c r="C7">
        <v>49.2</v>
      </c>
      <c r="D7">
        <f t="shared" si="2"/>
        <v>4.8000000000000043</v>
      </c>
      <c r="F7">
        <v>40.9</v>
      </c>
      <c r="G7">
        <v>44.9</v>
      </c>
      <c r="H7">
        <f t="shared" si="4"/>
        <v>4</v>
      </c>
      <c r="J7">
        <v>41.6</v>
      </c>
      <c r="K7">
        <v>44.2</v>
      </c>
      <c r="L7">
        <f t="shared" si="1"/>
        <v>2.6000000000000014</v>
      </c>
      <c r="O7" s="1">
        <f t="shared" si="3"/>
        <v>3.800000000000002</v>
      </c>
    </row>
    <row r="8" spans="1:15">
      <c r="A8">
        <v>1100</v>
      </c>
      <c r="B8">
        <v>49.9</v>
      </c>
      <c r="C8">
        <v>53</v>
      </c>
      <c r="D8">
        <f t="shared" si="2"/>
        <v>3.1000000000000014</v>
      </c>
      <c r="F8">
        <v>43.8</v>
      </c>
      <c r="G8">
        <v>47.8</v>
      </c>
      <c r="H8">
        <f t="shared" si="4"/>
        <v>4</v>
      </c>
      <c r="J8">
        <v>43</v>
      </c>
      <c r="K8">
        <v>47.8</v>
      </c>
      <c r="L8">
        <f t="shared" si="1"/>
        <v>4.7999999999999972</v>
      </c>
      <c r="O8" s="1">
        <f t="shared" si="3"/>
        <v>3.9666666666666663</v>
      </c>
    </row>
    <row r="9" spans="1:15">
      <c r="A9">
        <v>1200</v>
      </c>
      <c r="B9">
        <v>50.4</v>
      </c>
      <c r="C9">
        <v>55.3</v>
      </c>
      <c r="D9">
        <f t="shared" si="2"/>
        <v>4.8999999999999986</v>
      </c>
      <c r="F9">
        <v>46.2</v>
      </c>
      <c r="G9">
        <v>49.6</v>
      </c>
      <c r="H9">
        <f t="shared" si="4"/>
        <v>3.3999999999999986</v>
      </c>
      <c r="J9">
        <v>46.4</v>
      </c>
      <c r="K9">
        <v>49.1</v>
      </c>
      <c r="L9">
        <f t="shared" si="1"/>
        <v>2.7000000000000028</v>
      </c>
      <c r="O9" s="1">
        <f t="shared" si="3"/>
        <v>3.6666666666666665</v>
      </c>
    </row>
    <row r="10" spans="1:15">
      <c r="A10">
        <v>1300</v>
      </c>
      <c r="B10">
        <v>46.3</v>
      </c>
      <c r="C10">
        <v>50</v>
      </c>
      <c r="D10">
        <f t="shared" si="2"/>
        <v>3.7000000000000028</v>
      </c>
      <c r="F10">
        <v>45.1</v>
      </c>
      <c r="G10">
        <v>49.9</v>
      </c>
      <c r="H10">
        <f t="shared" si="4"/>
        <v>4.7999999999999972</v>
      </c>
      <c r="J10">
        <v>44.2</v>
      </c>
      <c r="K10">
        <v>49.5</v>
      </c>
      <c r="L10">
        <f t="shared" si="1"/>
        <v>5.2999999999999972</v>
      </c>
      <c r="O10" s="1">
        <f t="shared" si="3"/>
        <v>4.5999999999999988</v>
      </c>
    </row>
    <row r="11" spans="1:15">
      <c r="A11">
        <v>1400</v>
      </c>
      <c r="B11">
        <v>47.6</v>
      </c>
      <c r="C11">
        <v>52</v>
      </c>
      <c r="D11">
        <f t="shared" si="2"/>
        <v>4.3999999999999986</v>
      </c>
      <c r="F11">
        <v>46.7</v>
      </c>
      <c r="G11">
        <v>52.1</v>
      </c>
      <c r="H11">
        <f t="shared" si="4"/>
        <v>5.3999999999999986</v>
      </c>
      <c r="J11">
        <v>47.5</v>
      </c>
      <c r="K11">
        <v>52.1</v>
      </c>
      <c r="L11">
        <f t="shared" si="1"/>
        <v>4.6000000000000014</v>
      </c>
      <c r="O11" s="1">
        <f t="shared" si="3"/>
        <v>4.8</v>
      </c>
    </row>
    <row r="12" spans="1:15">
      <c r="A12">
        <v>1500</v>
      </c>
      <c r="B12">
        <v>50.6</v>
      </c>
      <c r="C12">
        <v>55.6</v>
      </c>
      <c r="D12">
        <f t="shared" si="2"/>
        <v>5</v>
      </c>
      <c r="F12">
        <v>50.3</v>
      </c>
      <c r="G12">
        <v>55</v>
      </c>
      <c r="H12">
        <f t="shared" si="4"/>
        <v>4.7000000000000028</v>
      </c>
      <c r="J12">
        <v>50.1</v>
      </c>
      <c r="K12">
        <v>54.7</v>
      </c>
      <c r="L12">
        <f t="shared" si="1"/>
        <v>4.6000000000000014</v>
      </c>
      <c r="O12" s="1">
        <f t="shared" si="3"/>
        <v>4.7666666666666684</v>
      </c>
    </row>
    <row r="13" spans="1:15">
      <c r="A13">
        <v>1600</v>
      </c>
      <c r="D13">
        <f t="shared" si="2"/>
        <v>0</v>
      </c>
      <c r="F13">
        <v>48.3</v>
      </c>
      <c r="G13">
        <v>55</v>
      </c>
      <c r="H13">
        <f t="shared" si="4"/>
        <v>6.7000000000000028</v>
      </c>
      <c r="J13">
        <v>48.6</v>
      </c>
      <c r="K13">
        <v>54.5</v>
      </c>
      <c r="L13">
        <f t="shared" si="1"/>
        <v>5.8999999999999986</v>
      </c>
      <c r="O13" s="1">
        <f t="shared" si="3"/>
        <v>4.2</v>
      </c>
    </row>
    <row r="14" spans="1:15">
      <c r="A14">
        <v>1700</v>
      </c>
      <c r="D14">
        <f t="shared" si="2"/>
        <v>0</v>
      </c>
      <c r="F14">
        <v>47.5</v>
      </c>
      <c r="G14">
        <v>53.5</v>
      </c>
      <c r="H14">
        <f t="shared" si="4"/>
        <v>6</v>
      </c>
      <c r="J14">
        <v>48.1</v>
      </c>
      <c r="K14">
        <v>53.4</v>
      </c>
      <c r="L14">
        <f t="shared" si="1"/>
        <v>5.2999999999999972</v>
      </c>
      <c r="O14" s="1">
        <f t="shared" si="3"/>
        <v>3.7666666666666657</v>
      </c>
    </row>
    <row r="15" spans="1:15">
      <c r="A15">
        <v>1800</v>
      </c>
      <c r="D15">
        <f t="shared" si="2"/>
        <v>0</v>
      </c>
      <c r="H15">
        <f t="shared" si="4"/>
        <v>0</v>
      </c>
      <c r="L15">
        <f t="shared" si="1"/>
        <v>0</v>
      </c>
    </row>
    <row r="16" spans="1:15">
      <c r="A16">
        <v>1900</v>
      </c>
      <c r="D16">
        <f t="shared" si="2"/>
        <v>0</v>
      </c>
      <c r="H16">
        <f t="shared" si="4"/>
        <v>0</v>
      </c>
      <c r="L16">
        <f t="shared" si="1"/>
        <v>0</v>
      </c>
    </row>
    <row r="17" spans="1:12">
      <c r="A17">
        <v>2000</v>
      </c>
      <c r="D17">
        <f t="shared" si="2"/>
        <v>0</v>
      </c>
      <c r="F17">
        <v>44.4</v>
      </c>
      <c r="G17">
        <v>50.6</v>
      </c>
      <c r="H17">
        <f t="shared" si="4"/>
        <v>6.2000000000000028</v>
      </c>
      <c r="L17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gene uba</cp:lastModifiedBy>
  <cp:revision/>
  <dcterms:created xsi:type="dcterms:W3CDTF">2026-05-25T17:17:42Z</dcterms:created>
  <dcterms:modified xsi:type="dcterms:W3CDTF">2026-05-28T06:12:31Z</dcterms:modified>
  <cp:category/>
  <cp:contentStatus/>
</cp:coreProperties>
</file>