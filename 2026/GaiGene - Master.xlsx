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565" documentId="11_E60897F41BE170836B02CE998F75CCDC64E183C8" xr6:coauthVersionLast="47" xr6:coauthVersionMax="47" xr10:uidLastSave="{5BCFB3D9-0DC7-4287-A8E4-5782C56C1619}"/>
  <bookViews>
    <workbookView xWindow="240" yWindow="105" windowWidth="14805" windowHeight="8010" xr2:uid="{00000000-000D-0000-FFFF-FFFF00000000}"/>
  </bookViews>
  <sheets>
    <sheet name="Itemized" sheetId="1" r:id="rId1"/>
    <sheet name="Retailers" sheetId="5" r:id="rId2"/>
    <sheet name="SKU" sheetId="3" r:id="rId3"/>
    <sheet name="InventoryEvents" sheetId="4" r:id="rId4"/>
    <sheet name="Sole Propietor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42" i="1" l="1"/>
  <c r="H40" i="1"/>
  <c r="H38" i="1"/>
  <c r="L25" i="1"/>
  <c r="F36" i="1"/>
  <c r="H36" i="1" s="1"/>
  <c r="K30" i="1"/>
  <c r="K32" i="1"/>
  <c r="K33" i="1"/>
  <c r="K34" i="1"/>
  <c r="K35" i="1"/>
  <c r="K29" i="1"/>
  <c r="K26" i="1"/>
  <c r="K27" i="1"/>
  <c r="K28" i="1"/>
  <c r="L28" i="1"/>
  <c r="L29" i="1"/>
  <c r="L30" i="1"/>
  <c r="L32" i="1"/>
  <c r="E3" i="3"/>
  <c r="E4" i="3"/>
  <c r="E5" i="3"/>
  <c r="E6" i="3"/>
  <c r="E7" i="3"/>
  <c r="E8" i="3"/>
  <c r="E9" i="3"/>
  <c r="E2" i="3"/>
  <c r="F2" i="3"/>
  <c r="F3" i="3"/>
  <c r="F4" i="3"/>
  <c r="F5" i="3"/>
  <c r="F6" i="3"/>
  <c r="F7" i="3"/>
  <c r="F8" i="3"/>
  <c r="F9" i="3"/>
  <c r="G3" i="4"/>
  <c r="G4" i="4"/>
  <c r="G5" i="4"/>
  <c r="G6" i="4"/>
  <c r="G7" i="4"/>
  <c r="G8" i="4"/>
  <c r="G9" i="4"/>
  <c r="G2" i="4"/>
  <c r="L26" i="1"/>
  <c r="L27" i="1"/>
  <c r="L33" i="1"/>
  <c r="L34" i="1"/>
  <c r="L35" i="1"/>
  <c r="L36" i="1"/>
  <c r="L38" i="1"/>
  <c r="L40" i="1"/>
  <c r="L42" i="1"/>
  <c r="K41" i="1"/>
  <c r="L41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2" i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7" i="1"/>
  <c r="L17" i="1"/>
  <c r="K13" i="1"/>
  <c r="L13" i="1"/>
  <c r="K14" i="1"/>
  <c r="L14" i="1"/>
  <c r="K15" i="1"/>
  <c r="L15" i="1"/>
  <c r="K16" i="1"/>
  <c r="L16" i="1"/>
  <c r="K18" i="1"/>
  <c r="L18" i="1"/>
  <c r="K19" i="1"/>
  <c r="L19" i="1"/>
  <c r="K20" i="1"/>
  <c r="L20" i="1"/>
  <c r="K11" i="1"/>
  <c r="L11" i="1"/>
  <c r="K12" i="1"/>
  <c r="L12" i="1"/>
  <c r="K22" i="1"/>
  <c r="L22" i="1"/>
  <c r="K21" i="1"/>
  <c r="L21" i="1" s="1"/>
  <c r="K24" i="1"/>
  <c r="L24" i="1" s="1"/>
  <c r="K23" i="1"/>
  <c r="L23" i="1" s="1"/>
  <c r="L10" i="1"/>
  <c r="M36" i="1" l="1"/>
  <c r="M24" i="1"/>
</calcChain>
</file>

<file path=xl/sharedStrings.xml><?xml version="1.0" encoding="utf-8"?>
<sst xmlns="http://schemas.openxmlformats.org/spreadsheetml/2006/main" count="275" uniqueCount="157">
  <si>
    <t>Date Ordered</t>
  </si>
  <si>
    <t>Business</t>
  </si>
  <si>
    <t>Description</t>
  </si>
  <si>
    <t>For</t>
  </si>
  <si>
    <t>Mileage</t>
  </si>
  <si>
    <t>$/mile</t>
  </si>
  <si>
    <t>Price</t>
  </si>
  <si>
    <t>Shipping</t>
  </si>
  <si>
    <t>Fees</t>
  </si>
  <si>
    <t>Taxes(0.0818)</t>
  </si>
  <si>
    <t>Total</t>
  </si>
  <si>
    <t>Amazon</t>
  </si>
  <si>
    <t>HiLetgo 20pcs 40P 2.54mm Pitch Single Row Pin Header Strip 40Pin 2.54mm Pitch</t>
  </si>
  <si>
    <t>Equipment Testing</t>
  </si>
  <si>
    <t>YoungRC A2212 1000KV Brushless Motor+ 30A ESC Electric Speed Controller with Gold Bullet Banana Plugs for RC Multicopter Quadcopter</t>
  </si>
  <si>
    <t>JTAREA L298N H Bridge Stepper Motor Driver Module DC Motors Drivers Dual H-Bridge for Arduino Smart Car Power UNO MEGA R3 Mega2560 (Pack of 4pcs)
Sold by: JTAREA - US</t>
  </si>
  <si>
    <t>Beffkkip 4Pcs SG90 9g Micro Servos for RC Robot Helicopter Airplane Controls Car Boat</t>
  </si>
  <si>
    <t>YUEBVIWIE Rechargeable Lithium D Batteries with 4 in 1 USB-C Charge Cable, 8 Pack D Cell Li-ion Battries, LR20 1.5V D Size Cell Battery Replacement 12000mWh for Floodlight Toys(8 Pcs)</t>
  </si>
  <si>
    <t>TQDLYKHS New 8Pcs for IRL540N IRL540PBF TO-220 30A 100V N-Channel Power MOSFET Transistor IRL540</t>
  </si>
  <si>
    <t>BOJACK 1N4001 Rectifier Diode 1 A 50 V DO-41 Axial 4001 1 amp 50 volt Electronic Silicon Diodes (Pack of 125)
Sold by: BOJACK ELECTRON</t>
  </si>
  <si>
    <t>Hobbypower 716 Coreless Brushed Motor Set 55000RPM 7x16mm &amp; 45mm Propeller CW CCW</t>
  </si>
  <si>
    <t>SnapMaker</t>
  </si>
  <si>
    <t>SnapMaker U1</t>
  </si>
  <si>
    <t>Equipment 3d Print</t>
  </si>
  <si>
    <t>Capital</t>
  </si>
  <si>
    <t>5pcs Mini Voltage Regulator</t>
  </si>
  <si>
    <t>Expense</t>
  </si>
  <si>
    <t>uxcell 10Pcs 6mm x 3.5mm 2-Wire Electret Condenser Microphone with 3.5mm Jack, High Sensitivity Stereo Mic for Recording Devices, Electronics, DIY Projects</t>
  </si>
  <si>
    <t>LONELY BINARY 3-Pack Breadboard Power Supply Modules - 3.3V/5V Switchable USB-C, 500mA Protection for Arduino, Raspberry Pi DIY Prototyping (Breadboards NOT Included)</t>
  </si>
  <si>
    <t>Siraya Tech Flex TPU Air</t>
  </si>
  <si>
    <t>raw material</t>
  </si>
  <si>
    <t>30 Pcs 6 Sizes 1mm, 1.5mm, 2mm, 2.5mm, 3mm, 4mm x Length 100mm (3.93 Inch) 304 Stainless Steel Round Rod, Metal Rod, Metal Solid Shaft Rods for Industry, Metal Working Hobbies and DIY Craft</t>
  </si>
  <si>
    <t>20 FT 3/4 inch 2:1 Heat Shrinkable Braided Sleeving Heat Shrink Sleeve Abrasion Protection Flexibility Wiring Harness Cable Sheath Tubing</t>
  </si>
  <si>
    <t>BOJACK 10 Values 300 Pcs Ceramic Capacitor 0.1 0.15 0.22 0.33 0.47 0.68 1 2.2 4.7 10 uF Multilayer Monolithic Ceramic Capacitor Assortment Kit</t>
  </si>
  <si>
    <t xml:space="preserve">
3D Printer Filament Storage Box, Dual-Outlet Airtight Dry Box with Ball-Bearing Spool Holder for Continuous Printing, Moisture-Proof Dispenser Compatible with 1.75mm 2.85mm PA Nylon TPU ABS PLA PETG</t>
  </si>
  <si>
    <t>Equipment Maintenance</t>
  </si>
  <si>
    <t>Comgrow Filament Dryer Box SH02</t>
  </si>
  <si>
    <t>20 Black Satin Fabric Headbands</t>
  </si>
  <si>
    <t>DeepLee PLA Green</t>
  </si>
  <si>
    <t>6x2mm Magnets 300</t>
  </si>
  <si>
    <t>PLA Orange</t>
  </si>
  <si>
    <t>4" twist ties</t>
  </si>
  <si>
    <t>packaging</t>
  </si>
  <si>
    <t>BigCommerce</t>
  </si>
  <si>
    <t>1 year web site</t>
  </si>
  <si>
    <t>web site</t>
  </si>
  <si>
    <t>Department Of Revenue Colorado</t>
  </si>
  <si>
    <t>Sales Tax License + $50 credit</t>
  </si>
  <si>
    <t>expense</t>
  </si>
  <si>
    <t>Secretary State</t>
  </si>
  <si>
    <t>TradeName GaiGene for 1 year</t>
  </si>
  <si>
    <t>GaiGene</t>
  </si>
  <si>
    <t>Accuteck 8250 High accuracy Digital shipping scale .1oz precision</t>
  </si>
  <si>
    <t>Shipping weight</t>
  </si>
  <si>
    <t>Avery TrueBlock Matte Wite Square Labels .75"x.75"</t>
  </si>
  <si>
    <t>GaiGene QR code</t>
  </si>
  <si>
    <t>eSun PLA-Lite Yellow filament</t>
  </si>
  <si>
    <t>Self</t>
  </si>
  <si>
    <t xml:space="preserve">Loan $100 </t>
  </si>
  <si>
    <t>to pad the Capital One Checking Acct</t>
  </si>
  <si>
    <t>Loan</t>
  </si>
  <si>
    <t>key rings</t>
  </si>
  <si>
    <t xml:space="preserve">exacto knife </t>
  </si>
  <si>
    <t>cleaning 3d prints</t>
  </si>
  <si>
    <t>800 ecoswift Shipping labels 1 3/4"x1/2" sku labels</t>
  </si>
  <si>
    <t>ziplock plastic bags 2x3"</t>
  </si>
  <si>
    <t>Round Trip Home to Pacific Mercantile</t>
  </si>
  <si>
    <t>Business Meeting (sample, 3 bee sets, pail)</t>
  </si>
  <si>
    <t>Travel</t>
  </si>
  <si>
    <t>Pacific</t>
  </si>
  <si>
    <t>2 bee sets, collect $12</t>
  </si>
  <si>
    <t>3 bee sets (24 bees)</t>
  </si>
  <si>
    <t>Business Meeting (2 bee sets, collect $12)</t>
  </si>
  <si>
    <t>2 bee sets $8</t>
  </si>
  <si>
    <t>2 bee sets (16 bees)</t>
  </si>
  <si>
    <t>Business Meeting (1 bee sets, Musubee, ShinoBee, collect $8+$2credit)</t>
  </si>
  <si>
    <t>1 bee set, 10 Musubee, 10 ShinoBee</t>
  </si>
  <si>
    <t>1 bee set (8), and 10 Musubee and 10 ShinoBee - 28 bees</t>
  </si>
  <si>
    <t>Business Meeting (1 bee sample, collect $14-$2=$12, all paid)</t>
  </si>
  <si>
    <t>Deposit</t>
  </si>
  <si>
    <t>$34 from Pacific -$1 for first dollar earned to replace initial $1 setup</t>
  </si>
  <si>
    <t>first bank deposit (no expense or income, just document)</t>
  </si>
  <si>
    <t>Document</t>
  </si>
  <si>
    <t>Date Contact</t>
  </si>
  <si>
    <t>Owner</t>
  </si>
  <si>
    <t>Address</t>
  </si>
  <si>
    <t>Phone</t>
  </si>
  <si>
    <t>Email</t>
  </si>
  <si>
    <t>Sell@</t>
  </si>
  <si>
    <t>Samples</t>
  </si>
  <si>
    <t>Product</t>
  </si>
  <si>
    <t>Comments</t>
  </si>
  <si>
    <t xml:space="preserve">Pacific Mercantile </t>
  </si>
  <si>
    <t>Nijiya Market</t>
  </si>
  <si>
    <t>Little Tokyo Los Angeles</t>
  </si>
  <si>
    <t>Oriental Market</t>
  </si>
  <si>
    <t>Fort Collins, CO</t>
  </si>
  <si>
    <t>Type</t>
  </si>
  <si>
    <t>Name</t>
  </si>
  <si>
    <t>Date</t>
  </si>
  <si>
    <t>Option</t>
  </si>
  <si>
    <t>SKU</t>
  </si>
  <si>
    <t>code-39 (Max 24 chars)</t>
  </si>
  <si>
    <t>Mag</t>
  </si>
  <si>
    <t>Bee</t>
  </si>
  <si>
    <t>ChiBee</t>
  </si>
  <si>
    <t>HeBee</t>
  </si>
  <si>
    <t>EBee</t>
  </si>
  <si>
    <t>WasaBee</t>
  </si>
  <si>
    <t>GoHouBee</t>
  </si>
  <si>
    <t>HanaBee</t>
  </si>
  <si>
    <t>Y</t>
  </si>
  <si>
    <t>R</t>
  </si>
  <si>
    <t>DateTime</t>
  </si>
  <si>
    <t>EventType</t>
  </si>
  <si>
    <t>Quantity</t>
  </si>
  <si>
    <t>Price Per</t>
  </si>
  <si>
    <t>Add</t>
  </si>
  <si>
    <t>New</t>
  </si>
  <si>
    <t>MagBee20260611</t>
  </si>
  <si>
    <t>Found</t>
  </si>
  <si>
    <t>Return</t>
  </si>
  <si>
    <t>MagChiBee20260611</t>
  </si>
  <si>
    <t>Subtract</t>
  </si>
  <si>
    <t>Sold</t>
  </si>
  <si>
    <t>Lost</t>
  </si>
  <si>
    <t>Gift</t>
  </si>
  <si>
    <t>MagHeBee20260611</t>
  </si>
  <si>
    <t>Audit</t>
  </si>
  <si>
    <t>InventoryTotal=xxx, AuditActual=yyy (Quantity shows difference, expect 0)</t>
  </si>
  <si>
    <t>MagEBee20260611</t>
  </si>
  <si>
    <t>MagWasaBee20260611</t>
  </si>
  <si>
    <t>MagGoHouBee20260611</t>
  </si>
  <si>
    <t>MagHanaBee20260611Y</t>
  </si>
  <si>
    <t>MagHanaBee20260611R</t>
  </si>
  <si>
    <t>Where</t>
  </si>
  <si>
    <t>What</t>
  </si>
  <si>
    <t>Why</t>
  </si>
  <si>
    <t>Details</t>
  </si>
  <si>
    <t>Costs</t>
  </si>
  <si>
    <t>Federal no license/declaration required</t>
  </si>
  <si>
    <t>Sole Proprietor</t>
  </si>
  <si>
    <t>Taxes</t>
  </si>
  <si>
    <t>Write Off Expenses</t>
  </si>
  <si>
    <t>Colorado</t>
  </si>
  <si>
    <t>Trade Name</t>
  </si>
  <si>
    <t xml:space="preserve">https://www.coloradosos.gov/pubs/business/fileAForm.html - File a business document A new tradename
https://www.sos.state.co.us/biz/PaymentConfirmation.do
Payment
   Amount Paid:
$20.00
   Type:
CREDIT
   Last 4 Digits:
5003
Filing Details
   Date and Time:
06/09/2026 09:34 AM
   ID #:
20261701045
   Document #:
20261701045
</t>
  </si>
  <si>
    <t>$20 cost</t>
  </si>
  <si>
    <t>6/11/2026, 11am</t>
  </si>
  <si>
    <t>State Tax License</t>
  </si>
  <si>
    <t>To allocate retail sales tax to pay next year</t>
  </si>
  <si>
    <t>CR0100 Form Colorado Sales Tax
and Withholding Account Application, https://mybiz.colorado.gov, Use Google gmuba1 account
download paperwork=file:///C:/Users/gene/Downloads/CR0100_2025signed.pdf (Went online instead)</t>
  </si>
  <si>
    <t>$12 yearly cost + $50 deposit</t>
  </si>
  <si>
    <t>25470138-005-LIC</t>
  </si>
  <si>
    <t>State Tax Exemption Certificate</t>
  </si>
  <si>
    <t>To not pay sales tax for raw materials.  Need to have a copy of State Tax License</t>
  </si>
  <si>
    <t>Just print out DR0563 Certificate and reference the State Tax License, provide a copy to retailer.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</si>
</sst>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444444"/>
      <name val="-Apple-System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7" fontId="0" fillId="0" borderId="0" xfId="0" applyNumberFormat="1" applyAlignment="1">
      <alignment wrapText="1"/>
    </xf>
    <xf numFmtId="8" fontId="0" fillId="0" borderId="0" xfId="0" applyNumberFormat="1"/>
    <xf numFmtId="0" fontId="2" fillId="0" borderId="0" xfId="0" applyFont="1"/>
    <xf numFmtId="0" fontId="1" fillId="0" borderId="0" xfId="1" applyAlignment="1">
      <alignment wrapText="1"/>
    </xf>
    <xf numFmtId="6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s.state.co.us/biz/PaymentConfirmatio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pane ySplit="1" topLeftCell="C28" activePane="bottomLeft" state="frozen"/>
      <selection pane="bottomLeft" activeCell="E43" sqref="E43"/>
    </sheetView>
  </sheetViews>
  <sheetFormatPr defaultRowHeight="15"/>
  <cols>
    <col min="1" max="1" width="12.7109375" bestFit="1" customWidth="1"/>
    <col min="2" max="2" width="10.140625" customWidth="1"/>
    <col min="3" max="3" width="36.5703125" bestFit="1" customWidth="1"/>
    <col min="4" max="4" width="54.42578125" customWidth="1"/>
    <col min="11" max="11" width="13" bestFit="1" customWidth="1"/>
    <col min="13" max="13" width="10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>
        <v>8.1799999999999998E-2</v>
      </c>
    </row>
    <row r="2" spans="1:13" ht="45.75">
      <c r="A2" s="4">
        <v>45950</v>
      </c>
      <c r="B2" t="s">
        <v>11</v>
      </c>
      <c r="C2" s="3" t="s">
        <v>12</v>
      </c>
      <c r="D2" t="s">
        <v>13</v>
      </c>
      <c r="H2">
        <v>5.49</v>
      </c>
      <c r="K2" s="2">
        <f>H2*$M$1</f>
        <v>0.44908199999999998</v>
      </c>
      <c r="L2" s="2">
        <f>H2+I2+K2+J2</f>
        <v>5.939082</v>
      </c>
    </row>
    <row r="3" spans="1:13" ht="60.75">
      <c r="A3" s="4">
        <v>45950</v>
      </c>
      <c r="B3" t="s">
        <v>11</v>
      </c>
      <c r="C3" s="3" t="s">
        <v>14</v>
      </c>
      <c r="D3" t="s">
        <v>13</v>
      </c>
      <c r="H3">
        <v>17.89</v>
      </c>
      <c r="K3" s="2">
        <f>H3*$M$1</f>
        <v>1.4634020000000001</v>
      </c>
      <c r="L3" s="2">
        <f>H3+I3+K3+J3</f>
        <v>19.353401999999999</v>
      </c>
    </row>
    <row r="4" spans="1:13" ht="91.5">
      <c r="A4" s="4">
        <v>45950</v>
      </c>
      <c r="B4" t="s">
        <v>11</v>
      </c>
      <c r="C4" s="3" t="s">
        <v>15</v>
      </c>
      <c r="D4" t="s">
        <v>13</v>
      </c>
      <c r="H4">
        <v>9.99</v>
      </c>
      <c r="K4" s="2">
        <f>H4*$M$1</f>
        <v>0.81718199999999996</v>
      </c>
      <c r="L4" s="2">
        <f>H4+I4+K4+J4</f>
        <v>10.807182000000001</v>
      </c>
    </row>
    <row r="5" spans="1:13" ht="45.75">
      <c r="A5" s="4">
        <v>45950</v>
      </c>
      <c r="B5" t="s">
        <v>11</v>
      </c>
      <c r="C5" s="3" t="s">
        <v>16</v>
      </c>
      <c r="D5" t="s">
        <v>13</v>
      </c>
      <c r="H5">
        <v>7.99</v>
      </c>
      <c r="K5" s="2">
        <f>H5*$M$1</f>
        <v>0.653582</v>
      </c>
      <c r="L5" s="2">
        <f>H5+I5+K5+J5</f>
        <v>8.6435820000000003</v>
      </c>
    </row>
    <row r="6" spans="1:13" ht="76.5">
      <c r="A6" s="4">
        <v>46050</v>
      </c>
      <c r="B6" t="s">
        <v>11</v>
      </c>
      <c r="C6" s="3" t="s">
        <v>17</v>
      </c>
      <c r="D6" t="s">
        <v>13</v>
      </c>
      <c r="H6">
        <v>26.99</v>
      </c>
      <c r="K6" s="2">
        <f>H6*$M$1</f>
        <v>2.2077819999999999</v>
      </c>
      <c r="L6" s="2">
        <f>H6+I6+K6+J6</f>
        <v>29.197781999999997</v>
      </c>
    </row>
    <row r="7" spans="1:13" ht="45.75">
      <c r="A7" s="4">
        <v>46050</v>
      </c>
      <c r="B7" t="s">
        <v>11</v>
      </c>
      <c r="C7" s="3" t="s">
        <v>18</v>
      </c>
      <c r="D7" t="s">
        <v>13</v>
      </c>
      <c r="H7">
        <v>8.9499999999999993</v>
      </c>
      <c r="K7" s="2">
        <f>H7*$M$1</f>
        <v>0.73210999999999993</v>
      </c>
      <c r="L7" s="2">
        <f>H7+I7+K7+J7</f>
        <v>9.6821099999999998</v>
      </c>
    </row>
    <row r="8" spans="1:13" ht="60.75">
      <c r="A8" s="4">
        <v>46050</v>
      </c>
      <c r="B8" t="s">
        <v>11</v>
      </c>
      <c r="C8" s="3" t="s">
        <v>19</v>
      </c>
      <c r="D8" t="s">
        <v>13</v>
      </c>
      <c r="H8">
        <v>5.99</v>
      </c>
      <c r="K8" s="2">
        <f>H8*$M$1</f>
        <v>0.48998200000000003</v>
      </c>
      <c r="L8" s="2">
        <f>H8+I8+K8+J8</f>
        <v>6.4799820000000006</v>
      </c>
    </row>
    <row r="9" spans="1:13" ht="45.75">
      <c r="A9" s="4">
        <v>46050</v>
      </c>
      <c r="B9" t="s">
        <v>11</v>
      </c>
      <c r="C9" s="3" t="s">
        <v>20</v>
      </c>
      <c r="D9" t="s">
        <v>13</v>
      </c>
      <c r="H9">
        <v>9.58</v>
      </c>
      <c r="K9" s="2">
        <f>H9*$M$1</f>
        <v>0.78364400000000001</v>
      </c>
      <c r="L9" s="2">
        <f>H9+I9+K9+J9</f>
        <v>10.363644000000001</v>
      </c>
    </row>
    <row r="10" spans="1:13" ht="30.75">
      <c r="A10" s="1">
        <v>46054</v>
      </c>
      <c r="B10" s="5" t="s">
        <v>21</v>
      </c>
      <c r="C10" t="s">
        <v>22</v>
      </c>
      <c r="D10" t="s">
        <v>23</v>
      </c>
      <c r="E10" t="s">
        <v>24</v>
      </c>
      <c r="H10" s="2">
        <v>849</v>
      </c>
      <c r="I10" s="2">
        <v>50</v>
      </c>
      <c r="J10" s="2"/>
      <c r="K10" s="2">
        <v>69.19</v>
      </c>
      <c r="L10" s="2">
        <f>H10+I10+K10</f>
        <v>968.19</v>
      </c>
    </row>
    <row r="11" spans="1:13">
      <c r="A11" s="4">
        <v>46088</v>
      </c>
      <c r="B11" t="s">
        <v>11</v>
      </c>
      <c r="C11" t="s">
        <v>25</v>
      </c>
      <c r="D11" t="s">
        <v>13</v>
      </c>
      <c r="E11" t="s">
        <v>26</v>
      </c>
      <c r="H11">
        <v>9.49</v>
      </c>
      <c r="K11" s="2">
        <f>H11*$M$1</f>
        <v>0.77628200000000003</v>
      </c>
      <c r="L11" s="2">
        <f>H11+I11+K11+J11</f>
        <v>10.266282</v>
      </c>
    </row>
    <row r="12" spans="1:13" ht="76.5">
      <c r="A12" s="4">
        <v>46088</v>
      </c>
      <c r="B12" t="s">
        <v>11</v>
      </c>
      <c r="C12" s="3" t="s">
        <v>27</v>
      </c>
      <c r="D12" t="s">
        <v>13</v>
      </c>
      <c r="E12" t="s">
        <v>26</v>
      </c>
      <c r="H12">
        <v>7.99</v>
      </c>
      <c r="K12" s="2">
        <f>H12*$M$1</f>
        <v>0.653582</v>
      </c>
      <c r="L12" s="2">
        <f>H12+I12+K12+J12</f>
        <v>8.6435820000000003</v>
      </c>
    </row>
    <row r="13" spans="1:13" ht="91.5">
      <c r="A13" s="4">
        <v>46088</v>
      </c>
      <c r="B13" t="s">
        <v>11</v>
      </c>
      <c r="C13" s="3" t="s">
        <v>28</v>
      </c>
      <c r="D13" t="s">
        <v>13</v>
      </c>
      <c r="E13" t="s">
        <v>26</v>
      </c>
      <c r="H13">
        <v>12.99</v>
      </c>
      <c r="K13" s="2">
        <f>H13*$M$1</f>
        <v>1.0625819999999999</v>
      </c>
      <c r="L13" s="2">
        <f>H13+I13+K13+J13</f>
        <v>14.052582000000001</v>
      </c>
    </row>
    <row r="14" spans="1:13">
      <c r="A14" s="4">
        <v>46088</v>
      </c>
      <c r="B14" t="s">
        <v>11</v>
      </c>
      <c r="C14" t="s">
        <v>29</v>
      </c>
      <c r="D14" t="s">
        <v>30</v>
      </c>
      <c r="E14" t="s">
        <v>26</v>
      </c>
      <c r="H14">
        <v>44.99</v>
      </c>
      <c r="K14" s="2">
        <f>H14*$M$1</f>
        <v>3.6801819999999998</v>
      </c>
      <c r="L14" s="2">
        <f>H14+I14+K14+J14</f>
        <v>48.670182000000004</v>
      </c>
    </row>
    <row r="15" spans="1:13" ht="91.5">
      <c r="A15" s="4">
        <v>46088</v>
      </c>
      <c r="B15" t="s">
        <v>11</v>
      </c>
      <c r="C15" s="3" t="s">
        <v>31</v>
      </c>
      <c r="D15" t="s">
        <v>13</v>
      </c>
      <c r="E15" t="s">
        <v>26</v>
      </c>
      <c r="H15">
        <v>9.99</v>
      </c>
      <c r="K15" s="2">
        <f>H15*$M$1</f>
        <v>0.81718199999999996</v>
      </c>
      <c r="L15" s="2">
        <f>H15+I15+K15+J15</f>
        <v>10.807182000000001</v>
      </c>
    </row>
    <row r="16" spans="1:13" ht="60.75">
      <c r="A16" s="4">
        <v>46088</v>
      </c>
      <c r="B16" t="s">
        <v>11</v>
      </c>
      <c r="C16" s="3" t="s">
        <v>32</v>
      </c>
      <c r="D16" t="s">
        <v>30</v>
      </c>
      <c r="E16" t="s">
        <v>26</v>
      </c>
      <c r="H16">
        <v>14.99</v>
      </c>
      <c r="K16" s="2">
        <f>H16*$M$1</f>
        <v>1.2261819999999999</v>
      </c>
      <c r="L16" s="2">
        <f>H16+I16+K16+J16</f>
        <v>16.216182</v>
      </c>
    </row>
    <row r="17" spans="1:14" ht="60.75">
      <c r="A17" s="4">
        <v>46088</v>
      </c>
      <c r="B17" t="s">
        <v>11</v>
      </c>
      <c r="C17" s="3" t="s">
        <v>33</v>
      </c>
      <c r="D17" t="s">
        <v>13</v>
      </c>
      <c r="E17" t="s">
        <v>26</v>
      </c>
      <c r="H17">
        <v>9.99</v>
      </c>
      <c r="K17" s="2">
        <f>H17*$M$1</f>
        <v>0.81718199999999996</v>
      </c>
      <c r="L17" s="2">
        <f>H17+I17+K17+J17</f>
        <v>10.807182000000001</v>
      </c>
    </row>
    <row r="18" spans="1:14" ht="106.5">
      <c r="A18" s="4">
        <v>46102</v>
      </c>
      <c r="B18" s="4" t="s">
        <v>11</v>
      </c>
      <c r="C18" s="3" t="s">
        <v>34</v>
      </c>
      <c r="D18" s="3" t="s">
        <v>35</v>
      </c>
      <c r="E18" t="s">
        <v>26</v>
      </c>
      <c r="H18">
        <v>26.94</v>
      </c>
      <c r="K18" s="2">
        <f>H18*$M$1</f>
        <v>2.2036920000000002</v>
      </c>
      <c r="L18" s="2">
        <f>H18+I18+K18+J18</f>
        <v>29.143692000000001</v>
      </c>
    </row>
    <row r="19" spans="1:14">
      <c r="A19" s="4">
        <v>46102</v>
      </c>
      <c r="B19" s="4" t="s">
        <v>11</v>
      </c>
      <c r="C19" t="s">
        <v>36</v>
      </c>
      <c r="D19" t="s">
        <v>35</v>
      </c>
      <c r="E19" t="s">
        <v>26</v>
      </c>
      <c r="H19">
        <v>61.74</v>
      </c>
      <c r="K19" s="2">
        <f>H19*$M$1</f>
        <v>5.050332</v>
      </c>
      <c r="L19" s="2">
        <f>H19+I19+K19+J19</f>
        <v>66.790332000000006</v>
      </c>
    </row>
    <row r="20" spans="1:14">
      <c r="A20" s="4">
        <v>46102</v>
      </c>
      <c r="B20" s="4" t="s">
        <v>11</v>
      </c>
      <c r="C20" t="s">
        <v>37</v>
      </c>
      <c r="D20" t="s">
        <v>30</v>
      </c>
      <c r="E20" t="s">
        <v>26</v>
      </c>
      <c r="H20">
        <v>9.99</v>
      </c>
      <c r="K20" s="2">
        <f>H20*$M$1</f>
        <v>0.81718199999999996</v>
      </c>
      <c r="L20" s="2">
        <f>H20+I20+K20+J20</f>
        <v>10.807182000000001</v>
      </c>
    </row>
    <row r="21" spans="1:14">
      <c r="A21" s="4">
        <v>46113</v>
      </c>
      <c r="B21" t="s">
        <v>11</v>
      </c>
      <c r="C21" t="s">
        <v>38</v>
      </c>
      <c r="D21" t="s">
        <v>30</v>
      </c>
      <c r="E21" t="s">
        <v>26</v>
      </c>
      <c r="H21">
        <v>17.989999999999998</v>
      </c>
      <c r="I21">
        <v>0</v>
      </c>
      <c r="K21" s="2">
        <f>H21*$M$1</f>
        <v>1.4715819999999997</v>
      </c>
      <c r="L21" s="2">
        <f>H21+I21+K21+J21</f>
        <v>19.461582</v>
      </c>
    </row>
    <row r="22" spans="1:14">
      <c r="A22" s="4">
        <v>46113</v>
      </c>
      <c r="B22" t="s">
        <v>11</v>
      </c>
      <c r="C22" t="s">
        <v>39</v>
      </c>
      <c r="D22" t="s">
        <v>30</v>
      </c>
      <c r="E22" t="s">
        <v>26</v>
      </c>
      <c r="H22">
        <v>9.99</v>
      </c>
      <c r="I22">
        <v>0</v>
      </c>
      <c r="K22" s="2">
        <f>H22*$M$1</f>
        <v>0.81718199999999996</v>
      </c>
      <c r="L22" s="2">
        <f>H22+I22+K22+J22</f>
        <v>10.807182000000001</v>
      </c>
    </row>
    <row r="23" spans="1:14">
      <c r="A23" s="4">
        <v>46171</v>
      </c>
      <c r="B23" t="s">
        <v>11</v>
      </c>
      <c r="C23" t="s">
        <v>40</v>
      </c>
      <c r="D23" t="s">
        <v>30</v>
      </c>
      <c r="E23" t="s">
        <v>26</v>
      </c>
      <c r="H23" s="2">
        <v>13.49</v>
      </c>
      <c r="I23" s="2">
        <v>0</v>
      </c>
      <c r="J23" s="2">
        <v>0.14000000000000001</v>
      </c>
      <c r="K23" s="2">
        <f>H23*$M$1</f>
        <v>1.1034820000000001</v>
      </c>
      <c r="L23" s="2">
        <f>H23+I23+K23+J23</f>
        <v>14.733482</v>
      </c>
    </row>
    <row r="24" spans="1:14">
      <c r="A24" s="4">
        <v>46171</v>
      </c>
      <c r="B24" t="s">
        <v>11</v>
      </c>
      <c r="C24" t="s">
        <v>41</v>
      </c>
      <c r="D24" t="s">
        <v>42</v>
      </c>
      <c r="E24" t="s">
        <v>26</v>
      </c>
      <c r="H24" s="2">
        <v>3.99</v>
      </c>
      <c r="I24" s="2">
        <v>0</v>
      </c>
      <c r="J24" s="2">
        <v>0.14000000000000001</v>
      </c>
      <c r="K24" s="2">
        <f>H24*$M$1</f>
        <v>0.32638200000000001</v>
      </c>
      <c r="L24" s="2">
        <f>H24+I24+K24+J24</f>
        <v>4.4563819999999996</v>
      </c>
      <c r="M24" s="2">
        <f>SUM($L$2:L24)</f>
        <v>1344.3197740000003</v>
      </c>
    </row>
    <row r="25" spans="1:14">
      <c r="A25" s="4">
        <v>46177</v>
      </c>
      <c r="B25" t="s">
        <v>43</v>
      </c>
      <c r="C25" t="s">
        <v>44</v>
      </c>
      <c r="D25" t="s">
        <v>45</v>
      </c>
      <c r="E25" t="s">
        <v>26</v>
      </c>
      <c r="H25" s="2">
        <v>348</v>
      </c>
      <c r="I25" s="2"/>
      <c r="J25" s="2"/>
      <c r="K25" s="2"/>
      <c r="L25" s="2">
        <f>H25+I25+K25+J25</f>
        <v>348</v>
      </c>
      <c r="M25" s="2"/>
    </row>
    <row r="26" spans="1:14" ht="60.75">
      <c r="A26" s="4">
        <v>46184</v>
      </c>
      <c r="B26" s="3" t="s">
        <v>46</v>
      </c>
      <c r="C26" t="s">
        <v>47</v>
      </c>
      <c r="D26" t="s">
        <v>47</v>
      </c>
      <c r="E26" t="s">
        <v>48</v>
      </c>
      <c r="H26">
        <v>62</v>
      </c>
      <c r="J26">
        <v>2.16</v>
      </c>
      <c r="K26" s="2">
        <f t="shared" ref="K26:K35" si="0">H26*$M$1</f>
        <v>5.0716000000000001</v>
      </c>
      <c r="L26" s="2">
        <f t="shared" ref="L26:L50" si="1">H26+I26+K26+J26</f>
        <v>69.2316</v>
      </c>
    </row>
    <row r="27" spans="1:14" ht="30.75">
      <c r="A27" s="4">
        <v>46183</v>
      </c>
      <c r="B27" s="3" t="s">
        <v>49</v>
      </c>
      <c r="C27" t="s">
        <v>50</v>
      </c>
      <c r="D27" t="s">
        <v>51</v>
      </c>
      <c r="E27" t="s">
        <v>48</v>
      </c>
      <c r="H27">
        <v>20</v>
      </c>
      <c r="K27" s="2">
        <f t="shared" si="0"/>
        <v>1.6359999999999999</v>
      </c>
      <c r="L27" s="2">
        <f t="shared" si="1"/>
        <v>21.635999999999999</v>
      </c>
    </row>
    <row r="28" spans="1:14">
      <c r="A28" s="4">
        <v>46184</v>
      </c>
      <c r="B28" s="3" t="s">
        <v>11</v>
      </c>
      <c r="C28" t="s">
        <v>52</v>
      </c>
      <c r="D28" t="s">
        <v>53</v>
      </c>
      <c r="E28" t="s">
        <v>26</v>
      </c>
      <c r="H28">
        <v>19.989999999999998</v>
      </c>
      <c r="K28" s="2">
        <f t="shared" si="0"/>
        <v>1.6351819999999999</v>
      </c>
      <c r="L28" s="2">
        <f t="shared" si="1"/>
        <v>21.625181999999999</v>
      </c>
    </row>
    <row r="29" spans="1:14">
      <c r="A29" s="4">
        <v>46184</v>
      </c>
      <c r="B29" s="3" t="s">
        <v>11</v>
      </c>
      <c r="C29" t="s">
        <v>54</v>
      </c>
      <c r="D29" t="s">
        <v>55</v>
      </c>
      <c r="E29" t="s">
        <v>26</v>
      </c>
      <c r="H29">
        <v>10.7</v>
      </c>
      <c r="I29">
        <v>0.28000000000000003</v>
      </c>
      <c r="K29" s="2">
        <f t="shared" si="0"/>
        <v>0.87525999999999993</v>
      </c>
      <c r="L29" s="2">
        <f t="shared" si="1"/>
        <v>11.855259999999998</v>
      </c>
    </row>
    <row r="30" spans="1:14">
      <c r="A30" s="4">
        <v>46199</v>
      </c>
      <c r="B30" s="3" t="s">
        <v>11</v>
      </c>
      <c r="C30" t="s">
        <v>56</v>
      </c>
      <c r="D30" t="s">
        <v>30</v>
      </c>
      <c r="E30" t="s">
        <v>26</v>
      </c>
      <c r="H30">
        <v>13.28</v>
      </c>
      <c r="I30">
        <v>0.28000000000000003</v>
      </c>
      <c r="K30" s="2">
        <f t="shared" si="0"/>
        <v>1.0863039999999999</v>
      </c>
      <c r="L30" s="2">
        <f t="shared" si="1"/>
        <v>14.646303999999999</v>
      </c>
    </row>
    <row r="31" spans="1:14">
      <c r="A31" s="4">
        <v>46209</v>
      </c>
      <c r="B31" s="3" t="s">
        <v>57</v>
      </c>
      <c r="C31" t="s">
        <v>58</v>
      </c>
      <c r="D31" s="10" t="s">
        <v>59</v>
      </c>
      <c r="E31" t="s">
        <v>60</v>
      </c>
      <c r="K31" s="2"/>
      <c r="L31" s="2"/>
      <c r="N31">
        <v>100</v>
      </c>
    </row>
    <row r="32" spans="1:14">
      <c r="A32" s="4">
        <v>46212</v>
      </c>
      <c r="B32" t="s">
        <v>11</v>
      </c>
      <c r="C32" t="s">
        <v>61</v>
      </c>
      <c r="D32" t="s">
        <v>30</v>
      </c>
      <c r="E32" t="s">
        <v>26</v>
      </c>
      <c r="H32">
        <v>9.99</v>
      </c>
      <c r="K32" s="2">
        <f t="shared" si="0"/>
        <v>0.81718199999999996</v>
      </c>
      <c r="L32" s="2">
        <f t="shared" si="1"/>
        <v>10.807182000000001</v>
      </c>
    </row>
    <row r="33" spans="1:14">
      <c r="A33" s="4">
        <v>46212</v>
      </c>
      <c r="B33" t="s">
        <v>11</v>
      </c>
      <c r="C33" t="s">
        <v>62</v>
      </c>
      <c r="D33" t="s">
        <v>63</v>
      </c>
      <c r="E33" t="s">
        <v>26</v>
      </c>
      <c r="H33">
        <v>5.97</v>
      </c>
      <c r="K33" s="2">
        <f t="shared" si="0"/>
        <v>0.48834599999999995</v>
      </c>
      <c r="L33" s="2">
        <f t="shared" si="1"/>
        <v>6.4583459999999997</v>
      </c>
    </row>
    <row r="34" spans="1:14">
      <c r="A34" s="4">
        <v>46212</v>
      </c>
      <c r="B34" t="s">
        <v>11</v>
      </c>
      <c r="C34" t="s">
        <v>64</v>
      </c>
      <c r="E34" t="s">
        <v>26</v>
      </c>
      <c r="H34">
        <v>4.8899999999999997</v>
      </c>
      <c r="K34" s="2">
        <f t="shared" si="0"/>
        <v>0.40000199999999997</v>
      </c>
      <c r="L34" s="2">
        <f t="shared" si="1"/>
        <v>5.2900019999999994</v>
      </c>
    </row>
    <row r="35" spans="1:14">
      <c r="A35" s="4">
        <v>46212</v>
      </c>
      <c r="B35" t="s">
        <v>11</v>
      </c>
      <c r="C35" t="s">
        <v>65</v>
      </c>
      <c r="D35" t="s">
        <v>30</v>
      </c>
      <c r="E35" t="s">
        <v>26</v>
      </c>
      <c r="H35">
        <v>9.99</v>
      </c>
      <c r="K35" s="2">
        <f t="shared" si="0"/>
        <v>0.81718199999999996</v>
      </c>
      <c r="L35" s="2">
        <f t="shared" si="1"/>
        <v>10.807182000000001</v>
      </c>
    </row>
    <row r="36" spans="1:14">
      <c r="A36" s="4">
        <v>46222</v>
      </c>
      <c r="B36" t="s">
        <v>4</v>
      </c>
      <c r="C36" t="s">
        <v>66</v>
      </c>
      <c r="D36" t="s">
        <v>67</v>
      </c>
      <c r="E36" t="s">
        <v>68</v>
      </c>
      <c r="F36">
        <f>18.5*2</f>
        <v>37</v>
      </c>
      <c r="G36">
        <v>0.72499999999999998</v>
      </c>
      <c r="H36">
        <f>F36*G36</f>
        <v>26.824999999999999</v>
      </c>
      <c r="K36" s="2"/>
      <c r="L36" s="2">
        <f t="shared" si="1"/>
        <v>26.824999999999999</v>
      </c>
      <c r="M36" s="2">
        <f>SUM(L2:L36)</f>
        <v>1891.5018320000004</v>
      </c>
    </row>
    <row r="37" spans="1:14">
      <c r="A37" s="4">
        <v>46229</v>
      </c>
      <c r="B37" t="s">
        <v>69</v>
      </c>
      <c r="C37" t="s">
        <v>70</v>
      </c>
      <c r="D37" t="s">
        <v>71</v>
      </c>
      <c r="K37" s="2"/>
      <c r="L37" s="2"/>
      <c r="N37">
        <v>12</v>
      </c>
    </row>
    <row r="38" spans="1:14">
      <c r="A38" s="4">
        <v>46229</v>
      </c>
      <c r="B38" t="s">
        <v>4</v>
      </c>
      <c r="C38" t="s">
        <v>66</v>
      </c>
      <c r="D38" t="s">
        <v>72</v>
      </c>
      <c r="E38" t="s">
        <v>68</v>
      </c>
      <c r="F38">
        <v>37</v>
      </c>
      <c r="G38">
        <v>0.72499999999999998</v>
      </c>
      <c r="H38">
        <f>F38*G38</f>
        <v>26.824999999999999</v>
      </c>
      <c r="K38" s="2"/>
      <c r="L38" s="2">
        <f>H38+I38+K38+J38</f>
        <v>26.824999999999999</v>
      </c>
    </row>
    <row r="39" spans="1:14">
      <c r="A39" s="4">
        <v>46236</v>
      </c>
      <c r="B39" t="s">
        <v>69</v>
      </c>
      <c r="C39" t="s">
        <v>73</v>
      </c>
      <c r="D39" t="s">
        <v>74</v>
      </c>
      <c r="K39" s="2"/>
      <c r="L39" s="2"/>
      <c r="N39">
        <v>8</v>
      </c>
    </row>
    <row r="40" spans="1:14">
      <c r="A40" s="4">
        <v>46236</v>
      </c>
      <c r="B40" t="s">
        <v>4</v>
      </c>
      <c r="C40" t="s">
        <v>66</v>
      </c>
      <c r="D40" t="s">
        <v>75</v>
      </c>
      <c r="E40" t="s">
        <v>68</v>
      </c>
      <c r="F40">
        <v>37</v>
      </c>
      <c r="G40">
        <v>0.72499999999999998</v>
      </c>
      <c r="H40">
        <f>F40*G40</f>
        <v>26.824999999999999</v>
      </c>
      <c r="K40" s="2"/>
      <c r="L40" s="2">
        <f t="shared" si="1"/>
        <v>26.824999999999999</v>
      </c>
    </row>
    <row r="41" spans="1:14">
      <c r="A41" s="4">
        <v>46241</v>
      </c>
      <c r="B41" t="s">
        <v>69</v>
      </c>
      <c r="C41" t="s">
        <v>76</v>
      </c>
      <c r="D41" t="s">
        <v>77</v>
      </c>
      <c r="K41" s="2">
        <f>H41*$M$1</f>
        <v>0</v>
      </c>
      <c r="L41" s="2">
        <f>H41+I41+K41+J41</f>
        <v>0</v>
      </c>
      <c r="N41">
        <v>14</v>
      </c>
    </row>
    <row r="42" spans="1:14">
      <c r="A42" s="4">
        <v>46241</v>
      </c>
      <c r="B42" t="s">
        <v>4</v>
      </c>
      <c r="C42" t="s">
        <v>66</v>
      </c>
      <c r="D42" t="s">
        <v>78</v>
      </c>
      <c r="E42" t="s">
        <v>68</v>
      </c>
      <c r="F42">
        <v>37</v>
      </c>
      <c r="G42">
        <v>0.72499999999999998</v>
      </c>
      <c r="H42">
        <f>F42*G42</f>
        <v>26.824999999999999</v>
      </c>
      <c r="K42" s="2"/>
      <c r="L42" s="2">
        <f t="shared" si="1"/>
        <v>26.824999999999999</v>
      </c>
    </row>
    <row r="43" spans="1:14">
      <c r="A43" s="4">
        <v>46242</v>
      </c>
      <c r="B43" t="s">
        <v>79</v>
      </c>
      <c r="C43" t="s">
        <v>80</v>
      </c>
      <c r="D43" t="s">
        <v>81</v>
      </c>
      <c r="E43" t="s">
        <v>82</v>
      </c>
      <c r="K43" s="2">
        <f>H43*$M$1</f>
        <v>0</v>
      </c>
      <c r="L43" s="2">
        <f t="shared" si="1"/>
        <v>0</v>
      </c>
    </row>
    <row r="44" spans="1:14">
      <c r="K44" s="2">
        <f>H44*$M$1</f>
        <v>0</v>
      </c>
      <c r="L44" s="2">
        <f t="shared" si="1"/>
        <v>0</v>
      </c>
    </row>
    <row r="45" spans="1:14">
      <c r="K45" s="2">
        <f>H45*$M$1</f>
        <v>0</v>
      </c>
      <c r="L45" s="2">
        <f t="shared" si="1"/>
        <v>0</v>
      </c>
    </row>
    <row r="46" spans="1:14">
      <c r="K46" s="2">
        <f>H46*$M$1</f>
        <v>0</v>
      </c>
      <c r="L46" s="2">
        <f t="shared" si="1"/>
        <v>0</v>
      </c>
    </row>
    <row r="47" spans="1:14">
      <c r="K47" s="2">
        <f>H47*$M$1</f>
        <v>0</v>
      </c>
      <c r="L47" s="2">
        <f t="shared" si="1"/>
        <v>0</v>
      </c>
    </row>
    <row r="48" spans="1:14">
      <c r="K48" s="2">
        <f>H48*$M$1</f>
        <v>0</v>
      </c>
      <c r="L48" s="2">
        <f t="shared" si="1"/>
        <v>0</v>
      </c>
    </row>
    <row r="49" spans="11:12">
      <c r="K49" s="2">
        <f>H49*$M$1</f>
        <v>0</v>
      </c>
      <c r="L49" s="2">
        <f t="shared" si="1"/>
        <v>0</v>
      </c>
    </row>
    <row r="50" spans="11:12">
      <c r="K50" s="2">
        <f>H50*$M$1</f>
        <v>0</v>
      </c>
      <c r="L50" s="2">
        <f t="shared" si="1"/>
        <v>0</v>
      </c>
    </row>
  </sheetData>
  <sortState xmlns:xlrd2="http://schemas.microsoft.com/office/spreadsheetml/2017/richdata2" ref="A2:L24">
    <sortCondition ref="A2:A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0105-BA93-4358-8062-CDB8709F6818}">
  <dimension ref="A1:J4"/>
  <sheetViews>
    <sheetView workbookViewId="0">
      <selection activeCell="D4" sqref="D4"/>
    </sheetView>
  </sheetViews>
  <sheetFormatPr defaultRowHeight="15"/>
  <cols>
    <col min="1" max="1" width="10.42578125" bestFit="1" customWidth="1"/>
  </cols>
  <sheetData>
    <row r="1" spans="1:10">
      <c r="A1" t="s">
        <v>83</v>
      </c>
      <c r="B1" t="s">
        <v>1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>
      <c r="A2" s="4">
        <v>46224</v>
      </c>
      <c r="B2" t="s">
        <v>92</v>
      </c>
      <c r="G2">
        <v>0.5</v>
      </c>
      <c r="H2">
        <v>8</v>
      </c>
      <c r="I2">
        <v>24</v>
      </c>
    </row>
    <row r="3" spans="1:10">
      <c r="B3" t="s">
        <v>93</v>
      </c>
      <c r="D3" t="s">
        <v>94</v>
      </c>
    </row>
    <row r="4" spans="1:10">
      <c r="B4" t="s">
        <v>95</v>
      </c>
      <c r="D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4B1F-68BB-47C4-9226-0151C7EE0915}">
  <dimension ref="A1:F9"/>
  <sheetViews>
    <sheetView workbookViewId="0">
      <selection activeCell="K9" sqref="K9"/>
    </sheetView>
  </sheetViews>
  <sheetFormatPr defaultRowHeight="15"/>
  <cols>
    <col min="1" max="1" width="12" bestFit="1" customWidth="1"/>
    <col min="2" max="2" width="10.28515625" bestFit="1" customWidth="1"/>
    <col min="3" max="3" width="9.5703125" bestFit="1" customWidth="1"/>
    <col min="4" max="4" width="9.5703125" customWidth="1"/>
    <col min="5" max="5" width="26.5703125" bestFit="1" customWidth="1"/>
    <col min="6" max="6" width="21.28515625" bestFit="1" customWidth="1"/>
  </cols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 t="s">
        <v>103</v>
      </c>
      <c r="B2" t="s">
        <v>104</v>
      </c>
      <c r="C2">
        <v>2606</v>
      </c>
      <c r="E2" t="str">
        <f>_xlfn.CONCAT("GG-","",B2,C2,D2)</f>
        <v>GG-Bee2606</v>
      </c>
      <c r="F2">
        <f t="shared" ref="F2:F8" si="0">LEN(E2)</f>
        <v>10</v>
      </c>
    </row>
    <row r="3" spans="1:6">
      <c r="A3" t="s">
        <v>103</v>
      </c>
      <c r="B3" t="s">
        <v>105</v>
      </c>
      <c r="C3">
        <v>2606</v>
      </c>
      <c r="E3" t="str">
        <f t="shared" ref="E3:E9" si="1">_xlfn.CONCAT("GG-","",B3,C3,D3)</f>
        <v>GG-ChiBee2606</v>
      </c>
      <c r="F3">
        <f t="shared" si="0"/>
        <v>13</v>
      </c>
    </row>
    <row r="4" spans="1:6">
      <c r="A4" t="s">
        <v>103</v>
      </c>
      <c r="B4" t="s">
        <v>106</v>
      </c>
      <c r="C4">
        <v>2606</v>
      </c>
      <c r="E4" t="str">
        <f t="shared" si="1"/>
        <v>GG-HeBee2606</v>
      </c>
      <c r="F4">
        <f t="shared" si="0"/>
        <v>12</v>
      </c>
    </row>
    <row r="5" spans="1:6">
      <c r="A5" t="s">
        <v>103</v>
      </c>
      <c r="B5" t="s">
        <v>107</v>
      </c>
      <c r="C5">
        <v>2606</v>
      </c>
      <c r="E5" t="str">
        <f t="shared" si="1"/>
        <v>GG-EBee2606</v>
      </c>
      <c r="F5">
        <f t="shared" si="0"/>
        <v>11</v>
      </c>
    </row>
    <row r="6" spans="1:6">
      <c r="A6" t="s">
        <v>103</v>
      </c>
      <c r="B6" t="s">
        <v>108</v>
      </c>
      <c r="C6">
        <v>2606</v>
      </c>
      <c r="E6" t="str">
        <f t="shared" si="1"/>
        <v>GG-WasaBee2606</v>
      </c>
      <c r="F6">
        <f t="shared" si="0"/>
        <v>14</v>
      </c>
    </row>
    <row r="7" spans="1:6">
      <c r="A7" t="s">
        <v>103</v>
      </c>
      <c r="B7" t="s">
        <v>109</v>
      </c>
      <c r="C7">
        <v>2606</v>
      </c>
      <c r="E7" t="str">
        <f t="shared" si="1"/>
        <v>GG-GoHouBee2606</v>
      </c>
      <c r="F7">
        <f t="shared" si="0"/>
        <v>15</v>
      </c>
    </row>
    <row r="8" spans="1:6">
      <c r="A8" t="s">
        <v>103</v>
      </c>
      <c r="B8" t="s">
        <v>110</v>
      </c>
      <c r="C8">
        <v>2606</v>
      </c>
      <c r="D8" t="s">
        <v>111</v>
      </c>
      <c r="E8" t="str">
        <f t="shared" si="1"/>
        <v>GG-HanaBee2606Y</v>
      </c>
      <c r="F8">
        <f t="shared" si="0"/>
        <v>15</v>
      </c>
    </row>
    <row r="9" spans="1:6">
      <c r="A9" t="s">
        <v>103</v>
      </c>
      <c r="B9" t="s">
        <v>110</v>
      </c>
      <c r="C9">
        <v>2606</v>
      </c>
      <c r="D9" t="s">
        <v>112</v>
      </c>
      <c r="E9" t="str">
        <f t="shared" si="1"/>
        <v>GG-HanaBee2606R</v>
      </c>
      <c r="F9">
        <f>LEN(E9)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0900-925C-43BF-9218-1EF3237289C8}">
  <dimension ref="A1:AD9"/>
  <sheetViews>
    <sheetView workbookViewId="0">
      <selection activeCell="K11" sqref="K11"/>
    </sheetView>
  </sheetViews>
  <sheetFormatPr defaultRowHeight="15"/>
  <cols>
    <col min="1" max="1" width="10.140625" bestFit="1" customWidth="1"/>
    <col min="2" max="2" width="10" bestFit="1" customWidth="1"/>
    <col min="3" max="3" width="10" customWidth="1"/>
    <col min="4" max="4" width="23.28515625" customWidth="1"/>
    <col min="6" max="6" width="9.28515625" bestFit="1" customWidth="1"/>
    <col min="27" max="27" width="10" bestFit="1" customWidth="1"/>
    <col min="28" max="28" width="36.5703125" bestFit="1" customWidth="1"/>
  </cols>
  <sheetData>
    <row r="1" spans="1:30">
      <c r="A1" t="s">
        <v>113</v>
      </c>
      <c r="B1" t="s">
        <v>114</v>
      </c>
      <c r="C1" t="s">
        <v>100</v>
      </c>
      <c r="D1" t="s">
        <v>101</v>
      </c>
      <c r="E1" t="s">
        <v>115</v>
      </c>
      <c r="F1" t="s">
        <v>116</v>
      </c>
      <c r="G1" t="s">
        <v>10</v>
      </c>
      <c r="AA1" t="s">
        <v>114</v>
      </c>
      <c r="AB1" t="s">
        <v>100</v>
      </c>
    </row>
    <row r="2" spans="1:30">
      <c r="A2" s="4">
        <v>46184</v>
      </c>
      <c r="B2" t="s">
        <v>117</v>
      </c>
      <c r="C2" t="s">
        <v>118</v>
      </c>
      <c r="D2" t="s">
        <v>119</v>
      </c>
      <c r="E2">
        <v>4</v>
      </c>
      <c r="F2" s="6">
        <v>0.5</v>
      </c>
      <c r="G2" s="6">
        <f>E2*F2</f>
        <v>2</v>
      </c>
      <c r="AA2" t="s">
        <v>117</v>
      </c>
      <c r="AB2" t="s">
        <v>118</v>
      </c>
      <c r="AC2" t="s">
        <v>120</v>
      </c>
      <c r="AD2" t="s">
        <v>121</v>
      </c>
    </row>
    <row r="3" spans="1:30" ht="30.75">
      <c r="A3" s="4">
        <v>46184</v>
      </c>
      <c r="B3" t="s">
        <v>117</v>
      </c>
      <c r="C3" t="s">
        <v>118</v>
      </c>
      <c r="D3" s="3" t="s">
        <v>122</v>
      </c>
      <c r="E3">
        <v>4</v>
      </c>
      <c r="F3" s="6">
        <v>0.5</v>
      </c>
      <c r="G3" s="6">
        <f t="shared" ref="G3:G9" si="0">E3*F3</f>
        <v>2</v>
      </c>
      <c r="AA3" t="s">
        <v>123</v>
      </c>
      <c r="AB3" t="s">
        <v>124</v>
      </c>
      <c r="AC3" t="s">
        <v>125</v>
      </c>
      <c r="AD3" t="s">
        <v>126</v>
      </c>
    </row>
    <row r="4" spans="1:30" ht="30.75">
      <c r="A4" s="4">
        <v>46184</v>
      </c>
      <c r="B4" t="s">
        <v>117</v>
      </c>
      <c r="C4" t="s">
        <v>118</v>
      </c>
      <c r="D4" t="s">
        <v>127</v>
      </c>
      <c r="E4">
        <v>4</v>
      </c>
      <c r="F4" s="6">
        <v>0.5</v>
      </c>
      <c r="G4" s="6">
        <f t="shared" si="0"/>
        <v>2</v>
      </c>
      <c r="AA4" t="s">
        <v>128</v>
      </c>
      <c r="AB4" s="3" t="s">
        <v>129</v>
      </c>
    </row>
    <row r="5" spans="1:30">
      <c r="A5" s="4">
        <v>46184</v>
      </c>
      <c r="B5" t="s">
        <v>117</v>
      </c>
      <c r="C5" t="s">
        <v>118</v>
      </c>
      <c r="D5" t="s">
        <v>130</v>
      </c>
      <c r="E5">
        <v>4</v>
      </c>
      <c r="F5" s="6">
        <v>0.5</v>
      </c>
      <c r="G5" s="6">
        <f t="shared" si="0"/>
        <v>2</v>
      </c>
    </row>
    <row r="6" spans="1:30" ht="30.75">
      <c r="A6" s="4">
        <v>46184</v>
      </c>
      <c r="B6" t="s">
        <v>117</v>
      </c>
      <c r="C6" t="s">
        <v>118</v>
      </c>
      <c r="D6" s="3" t="s">
        <v>131</v>
      </c>
      <c r="E6">
        <v>4</v>
      </c>
      <c r="F6" s="6">
        <v>0.5</v>
      </c>
      <c r="G6" s="6">
        <f t="shared" si="0"/>
        <v>2</v>
      </c>
    </row>
    <row r="7" spans="1:30" ht="30.75">
      <c r="A7" s="4">
        <v>46184</v>
      </c>
      <c r="B7" t="s">
        <v>117</v>
      </c>
      <c r="C7" t="s">
        <v>118</v>
      </c>
      <c r="D7" s="3" t="s">
        <v>132</v>
      </c>
      <c r="E7">
        <v>4</v>
      </c>
      <c r="F7" s="6">
        <v>0.5</v>
      </c>
      <c r="G7" s="6">
        <f t="shared" si="0"/>
        <v>2</v>
      </c>
    </row>
    <row r="8" spans="1:30" ht="30.75">
      <c r="A8" s="4">
        <v>46184</v>
      </c>
      <c r="B8" t="s">
        <v>117</v>
      </c>
      <c r="C8" t="s">
        <v>118</v>
      </c>
      <c r="D8" s="3" t="s">
        <v>133</v>
      </c>
      <c r="E8">
        <v>4</v>
      </c>
      <c r="F8" s="6">
        <v>0.5</v>
      </c>
      <c r="G8" s="6">
        <f t="shared" si="0"/>
        <v>2</v>
      </c>
    </row>
    <row r="9" spans="1:30" ht="30.75">
      <c r="A9" s="4">
        <v>46184</v>
      </c>
      <c r="B9" t="s">
        <v>117</v>
      </c>
      <c r="C9" t="s">
        <v>118</v>
      </c>
      <c r="D9" s="3" t="s">
        <v>134</v>
      </c>
      <c r="E9">
        <v>4</v>
      </c>
      <c r="F9" s="6">
        <v>0.5</v>
      </c>
      <c r="G9" s="6">
        <f t="shared" si="0"/>
        <v>2</v>
      </c>
    </row>
  </sheetData>
  <dataValidations count="2">
    <dataValidation type="list" allowBlank="1" showInputMessage="1" showErrorMessage="1" sqref="B2:B12" xr:uid="{D3CE80E6-7272-4870-BFBE-0B65FD01ACC1}">
      <formula1>$AA$2:$AA$4</formula1>
    </dataValidation>
    <dataValidation type="list" allowBlank="1" showInputMessage="1" showErrorMessage="1" sqref="C2" xr:uid="{B50E0377-C250-4535-8060-9B19AC6A5A2E}">
      <formula1>IF($B$2="Add",$AB$2:$AD$2,$AB$3:$AD$3)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3B4EE-F14E-4F57-9849-CE5FC2CDDEDA}">
          <x14:formula1>
            <xm:f>SKU!$E$2:$E$9</xm:f>
          </x14:formula1>
          <xm:sqref>D2:D12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12B3-53DB-4BC6-88CB-D2D798472AE2}">
  <dimension ref="A1:G5"/>
  <sheetViews>
    <sheetView topLeftCell="A3" workbookViewId="0">
      <selection activeCell="C2" sqref="A2:XFD2"/>
    </sheetView>
  </sheetViews>
  <sheetFormatPr defaultRowHeight="15"/>
  <cols>
    <col min="1" max="1" width="35.28515625" bestFit="1" customWidth="1"/>
    <col min="2" max="2" width="28.140625" bestFit="1" customWidth="1"/>
    <col min="3" max="4" width="36.5703125" bestFit="1" customWidth="1"/>
    <col min="5" max="5" width="26.28515625" bestFit="1" customWidth="1"/>
    <col min="6" max="6" width="19.5703125" bestFit="1" customWidth="1"/>
  </cols>
  <sheetData>
    <row r="1" spans="1:7">
      <c r="A1" t="s">
        <v>135</v>
      </c>
      <c r="B1" t="s">
        <v>136</v>
      </c>
      <c r="C1" t="s">
        <v>137</v>
      </c>
      <c r="D1" t="s">
        <v>138</v>
      </c>
      <c r="F1" t="s">
        <v>99</v>
      </c>
      <c r="G1" t="s">
        <v>139</v>
      </c>
    </row>
    <row r="2" spans="1:7">
      <c r="A2" t="s">
        <v>140</v>
      </c>
      <c r="B2" t="s">
        <v>141</v>
      </c>
      <c r="C2" t="s">
        <v>142</v>
      </c>
      <c r="D2" t="s">
        <v>143</v>
      </c>
    </row>
    <row r="3" spans="1:7" ht="336">
      <c r="A3" t="s">
        <v>144</v>
      </c>
      <c r="B3" t="s">
        <v>145</v>
      </c>
      <c r="C3" t="s">
        <v>51</v>
      </c>
      <c r="D3" s="8" t="s">
        <v>146</v>
      </c>
      <c r="E3" t="s">
        <v>147</v>
      </c>
      <c r="F3" t="s">
        <v>148</v>
      </c>
    </row>
    <row r="4" spans="1:7" ht="137.25">
      <c r="A4" t="s">
        <v>144</v>
      </c>
      <c r="B4" t="s">
        <v>149</v>
      </c>
      <c r="C4" s="3" t="s">
        <v>150</v>
      </c>
      <c r="D4" s="3" t="s">
        <v>151</v>
      </c>
      <c r="E4" t="s">
        <v>152</v>
      </c>
      <c r="F4" s="7" t="s">
        <v>153</v>
      </c>
    </row>
    <row r="5" spans="1:7" ht="45.75">
      <c r="A5" t="s">
        <v>144</v>
      </c>
      <c r="B5" t="s">
        <v>154</v>
      </c>
      <c r="C5" s="3" t="s">
        <v>155</v>
      </c>
      <c r="D5" s="3" t="s">
        <v>156</v>
      </c>
      <c r="E5" s="9">
        <v>0</v>
      </c>
    </row>
  </sheetData>
  <hyperlinks>
    <hyperlink ref="D3" r:id="rId1" display="https://www.sos.state.co.us/biz/PaymentConfirmation.do" xr:uid="{7070910E-6839-42E7-824A-6327D3A2FF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gene uba</cp:lastModifiedBy>
  <cp:revision/>
  <dcterms:created xsi:type="dcterms:W3CDTF">2026-06-10T00:10:31Z</dcterms:created>
  <dcterms:modified xsi:type="dcterms:W3CDTF">2026-08-08T03:25:48Z</dcterms:modified>
  <cp:category/>
  <cp:contentStatus/>
</cp:coreProperties>
</file>